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f4ef99f068508f/STANG/5.MotorCalculo/MotorTransporteV3/"/>
    </mc:Choice>
  </mc:AlternateContent>
  <xr:revisionPtr revIDLastSave="20" documentId="8_{46A999FF-AE5C-4E93-AEF7-FCA13D07EBBB}" xr6:coauthVersionLast="47" xr6:coauthVersionMax="47" xr10:uidLastSave="{2A7C775E-125E-4692-B66E-6BC1C1590E8F}"/>
  <bookViews>
    <workbookView xWindow="-108" yWindow="-108" windowWidth="23256" windowHeight="12456" xr2:uid="{56201FA1-ECF2-481B-A093-071C42AEF0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H9" i="1"/>
  <c r="H8" i="1"/>
  <c r="H7" i="1"/>
  <c r="H6" i="1"/>
  <c r="H5" i="1"/>
  <c r="H4" i="1"/>
  <c r="H3" i="1"/>
  <c r="H10" i="1" l="1"/>
</calcChain>
</file>

<file path=xl/sharedStrings.xml><?xml version="1.0" encoding="utf-8"?>
<sst xmlns="http://schemas.openxmlformats.org/spreadsheetml/2006/main" count="29" uniqueCount="17">
  <si>
    <t>Descrição da Cobertura</t>
  </si>
  <si>
    <t>Básica</t>
  </si>
  <si>
    <t>Custo de Limpeza: Remediações, Remoções e Descarte</t>
  </si>
  <si>
    <t xml:space="preserve">Danos Materiais </t>
  </si>
  <si>
    <t>Adicionais</t>
  </si>
  <si>
    <t>Transporte Terrestre Rodoviário, Viagem Na Rodovia Com Percurso Complementar Fluvial</t>
  </si>
  <si>
    <t>Transporte Terrestre Rodoviário, Danos Morais</t>
  </si>
  <si>
    <t>Transporte Terrestre Gerenciamento De Crise</t>
  </si>
  <si>
    <t>Transporte Terrestre Rodoviário, Defesa Do Segurado Em Decorrência De Penalidades Administrativas</t>
  </si>
  <si>
    <t>Transporte Terrestre Vazamento De Produtos Acondicionados Em Veículos Transportadores</t>
  </si>
  <si>
    <t>Prêmio Total</t>
  </si>
  <si>
    <t>Desconto/Agrago</t>
  </si>
  <si>
    <t>Prêmio Total Final</t>
  </si>
  <si>
    <t>Coberturas</t>
  </si>
  <si>
    <t>Cotação</t>
  </si>
  <si>
    <t>Versão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</si>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</sst>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9" fontId="0" fillId="0" borderId="0" xfId="2" applyFont="1" applyAlignment="1">
      <alignment horizontal="center"/>
    </xf>
    <xf numFmtId="43" fontId="0" fillId="0" borderId="0" xfId="0" applyNumberFormat="1"/>
    <xf numFmtId="0" fontId="2" fillId="2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43" fontId="2" fillId="2" borderId="0" xfId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D87D-6C0C-4330-ACE3-BEBBAB0B8048}">
  <dimension ref="B2:J10"/>
  <sheetViews>
    <sheetView showGridLines="0" tabSelected="1" workbookViewId="0">
      <selection activeCell="B13" sqref="B13"/>
    </sheetView>
  </sheetViews>
  <sheetFormatPr defaultRowHeight="14.4" x14ac:dyDescent="0.3"/>
  <cols>
    <col min="2" max="2" width="12.77734375" customWidth="1"/>
    <col min="3" max="3" width="7" customWidth="1"/>
    <col min="4" max="4" width="12.88671875" customWidth="1"/>
    <col min="5" max="5" width="83.77734375" style="1" bestFit="1" customWidth="1"/>
    <col min="6" max="6" width="18.44140625" customWidth="1"/>
    <col min="7" max="7" width="18" customWidth="1"/>
    <col min="8" max="8" width="17.44140625" bestFit="1" customWidth="1"/>
    <col min="9" max="9" width="10.44140625" bestFit="1" customWidth="1"/>
  </cols>
  <sheetData>
    <row r="2" spans="2:10" ht="21" customHeight="1" x14ac:dyDescent="0.3">
      <c r="B2" s="4" t="s">
        <v>14</v>
      </c>
      <c r="C2" s="4" t="s">
        <v>15</v>
      </c>
      <c r="D2" s="4" t="s">
        <v>13</v>
      </c>
      <c r="E2" s="4" t="s">
        <v>0</v>
      </c>
      <c r="F2" s="5" t="s">
        <v>10</v>
      </c>
      <c r="G2" s="4" t="s">
        <v>11</v>
      </c>
      <c r="H2" s="5" t="s">
        <v>12</v>
      </c>
    </row>
    <row r="3" spans="2:10" ht="15" customHeight="1" x14ac:dyDescent="0.3">
      <c r="B3" s="9">
        <v>20250674</v>
      </c>
      <c r="C3" s="8" t="s">
        <v>16</v>
      </c>
      <c r="D3" t="s">
        <v>1</v>
      </c>
      <c r="E3" t="s">
        <v>2</v>
      </c>
      <c r="F3" s="1">
        <v>12524.34</v>
      </c>
      <c r="G3" s="2">
        <v>-0.1</v>
      </c>
      <c r="H3" s="3">
        <f>(F3+(F3*(G3)))</f>
        <v>11271.905999999999</v>
      </c>
      <c r="I3" s="3"/>
      <c r="J3" s="3"/>
    </row>
    <row r="4" spans="2:10" ht="15" customHeight="1" x14ac:dyDescent="0.3">
      <c r="B4" s="9">
        <v>20250674</v>
      </c>
      <c r="C4" s="8" t="s">
        <v>16</v>
      </c>
      <c r="D4" t="s">
        <v>1</v>
      </c>
      <c r="E4" t="s">
        <v>3</v>
      </c>
      <c r="F4" s="1">
        <v>313.08</v>
      </c>
      <c r="G4" s="2">
        <v>-0.1</v>
      </c>
      <c r="H4" s="3">
        <f t="shared" ref="H4:H9" si="0">(F4+(F4*(G4)))</f>
        <v>281.77199999999999</v>
      </c>
      <c r="I4" s="3"/>
      <c r="J4" s="3"/>
    </row>
    <row r="5" spans="2:10" ht="15" customHeight="1" x14ac:dyDescent="0.3">
      <c r="B5" s="9">
        <v>20250674</v>
      </c>
      <c r="C5" s="8" t="s">
        <v>16</v>
      </c>
      <c r="D5" t="s">
        <v>4</v>
      </c>
      <c r="E5" t="s">
        <v>5</v>
      </c>
      <c r="F5" s="1">
        <v>15011.53</v>
      </c>
      <c r="G5" s="2">
        <v>-0.05</v>
      </c>
      <c r="H5" s="3">
        <f t="shared" si="0"/>
        <v>14260.9535</v>
      </c>
      <c r="I5" s="3"/>
      <c r="J5" s="3"/>
    </row>
    <row r="6" spans="2:10" ht="15" customHeight="1" x14ac:dyDescent="0.3">
      <c r="B6" s="9">
        <v>20250674</v>
      </c>
      <c r="C6" s="8" t="s">
        <v>16</v>
      </c>
      <c r="D6" t="s">
        <v>4</v>
      </c>
      <c r="E6" t="s">
        <v>6</v>
      </c>
      <c r="F6" s="1">
        <v>10056.15</v>
      </c>
      <c r="G6" s="2">
        <v>0.5</v>
      </c>
      <c r="H6" s="3">
        <f t="shared" si="0"/>
        <v>15084.224999999999</v>
      </c>
      <c r="I6" s="3"/>
      <c r="J6" s="3"/>
    </row>
    <row r="7" spans="2:10" ht="15" customHeight="1" x14ac:dyDescent="0.3">
      <c r="B7" s="9">
        <v>20250674</v>
      </c>
      <c r="C7" s="8" t="s">
        <v>16</v>
      </c>
      <c r="D7" t="s">
        <v>4</v>
      </c>
      <c r="E7" t="s">
        <v>7</v>
      </c>
      <c r="F7" s="1">
        <v>16336.12</v>
      </c>
      <c r="G7" s="2">
        <v>-0.5</v>
      </c>
      <c r="H7" s="3">
        <f t="shared" si="0"/>
        <v>8168.06</v>
      </c>
      <c r="I7" s="3"/>
      <c r="J7" s="3"/>
    </row>
    <row r="8" spans="2:10" ht="15" customHeight="1" x14ac:dyDescent="0.3">
      <c r="B8" s="9">
        <v>20250674</v>
      </c>
      <c r="C8" s="8" t="s">
        <v>16</v>
      </c>
      <c r="D8" t="s">
        <v>4</v>
      </c>
      <c r="E8" t="s">
        <v>8</v>
      </c>
      <c r="F8" s="1">
        <v>28530.51</v>
      </c>
      <c r="G8" s="2">
        <v>-0.5</v>
      </c>
      <c r="H8" s="3">
        <f t="shared" si="0"/>
        <v>14265.254999999999</v>
      </c>
      <c r="I8" s="3"/>
      <c r="J8" s="3"/>
    </row>
    <row r="9" spans="2:10" ht="15" customHeight="1" x14ac:dyDescent="0.3">
      <c r="B9" s="9">
        <v>20250674</v>
      </c>
      <c r="C9" s="8" t="s">
        <v>16</v>
      </c>
      <c r="D9" t="s">
        <v>4</v>
      </c>
      <c r="E9" t="s">
        <v>9</v>
      </c>
      <c r="F9" s="1">
        <v>20289.150000000001</v>
      </c>
      <c r="G9" s="2">
        <v>-0.5</v>
      </c>
      <c r="H9" s="3">
        <f t="shared" si="0"/>
        <v>10144.575000000001</v>
      </c>
      <c r="I9" s="3"/>
      <c r="J9" s="3"/>
    </row>
    <row r="10" spans="2:10" ht="16.8" customHeight="1" x14ac:dyDescent="0.3">
      <c r="B10" s="4"/>
      <c r="C10" s="4"/>
      <c r="D10" s="4"/>
      <c r="E10" s="4" t="s">
        <v>10</v>
      </c>
      <c r="F10" s="6">
        <f>SUM(F3:F9)</f>
        <v>103060.88</v>
      </c>
      <c r="G10" s="7"/>
      <c r="H10" s="6">
        <f>SUM(H3:H9)</f>
        <v>73476.746499999994</v>
      </c>
    </row>
  </sheetData>
  <conditionalFormatting sqref="G3:G9">
    <cfRule type="cellIs" dxfId="1" priority="1" operator="greaterThan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| Fabricio Lopes</dc:creator>
  <cp:lastModifiedBy>Fabrício Lopes</cp:lastModifiedBy>
  <dcterms:created xsi:type="dcterms:W3CDTF">2025-12-26T15:21:48Z</dcterms:created>
  <dcterms:modified xsi:type="dcterms:W3CDTF">2025-12-27T02:18:49Z</dcterms:modified>
</cp:coreProperties>
</file>