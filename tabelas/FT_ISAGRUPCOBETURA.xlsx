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477d7318b1e097/14. Gisele^0Jardel/Atuá Estratégia ^0 Análises/8. Projetos/STANG/5.MotorCalculo/01_RC_Ambiental/MotorTransporteV5/tabelas/"/>
    </mc:Choice>
  </mc:AlternateContent>
  <xr:revisionPtr revIDLastSave="112" documentId="13_ncr:1_{49071044-2EED-482C-AECD-3E07F6FE59DD}" xr6:coauthVersionLast="47" xr6:coauthVersionMax="47" xr10:uidLastSave="{615DE2CA-0BAF-4936-B5A9-020C3B497DAA}"/>
  <bookViews>
    <workbookView xWindow="28680" yWindow="-120" windowWidth="29040" windowHeight="15720" xr2:uid="{77FAD20C-44E5-4827-8893-D4E5A201625A}"/>
  </bookViews>
  <sheets>
    <sheet name="FT_ISCOBERTURA" sheetId="1" r:id="rId1"/>
  </sheets>
  <definedNames>
    <definedName name="_xlnm._FilterDatabase" localSheetId="0" hidden="1">FT_ISCOBERTURA!$D$1:$S$6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D14" i="1"/>
  <c r="D13" i="1"/>
  <c r="D12" i="1"/>
  <c r="D11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<sst xmlns="http://schemas.openxmlformats.org/spreadsheetml/2006/main" count="33" uniqueCount="33">
  <si>
    <t>NR_TARIFA</t>
  </si>
  <si>
    <t>NR_SEQUENCIA</t>
  </si>
  <si>
    <t>CD_SEGMENTO</t>
  </si>
  <si>
    <t>FT_CAG1</t>
  </si>
  <si>
    <t>FT_C1</t>
  </si>
  <si>
    <t>FT_C2</t>
  </si>
  <si>
    <t>FT_C3</t>
  </si>
  <si>
    <t>FT_C4</t>
  </si>
  <si>
    <t>FT_C5</t>
  </si>
  <si>
    <t>FT_CAAG1</t>
  </si>
  <si>
    <t>FT_CA1</t>
  </si>
  <si>
    <t>FT_CA2</t>
  </si>
  <si>
    <t>FT_CA3</t>
  </si>
  <si>
    <t>FT_CA4</t>
  </si>
  <si>
    <t>FT_CA5</t>
  </si>
  <si>
    <t>De R$150.001 a R$200.000</t>
  </si>
  <si>
    <t>De R$250.001 a R$300.000</t>
  </si>
  <si>
    <t>De R$350.001 a R$400.000</t>
  </si>
  <si>
    <t>De R$450.001 a R$500.000</t>
  </si>
  <si>
    <t>CD_LMI</t>
  </si>
  <si>
    <t>DS_LMI</t>
  </si>
  <si>
    <t>CD_LMI_INI</t>
  </si>
  <si>
    <t>CD_LMI_FIM</t>
  </si>
  <si>
    <t>De R$100.001 a R$150.000</t>
  </si>
  <si>
    <t>De R$200.001 a R$250.000</t>
  </si>
  <si>
    <t>De R$300.001 a R$350.000</t>
  </si>
  <si>
    <t>De R$400.001 a R$450.000</t>
  </si>
  <si>
    <t>De R$1 a R$100.000</t>
  </si>
  <si>
    <t>De R$500.001 a R$600.000</t>
  </si>
  <si>
    <t>De R$600.001 a R$700.000</t>
  </si>
  <si>
    <t>De R$700.001 a R$800.000</t>
  </si>
  <si>
    <t>De R$800.001 a R$900.000</t>
  </si>
  <si>
    <t>De R$900.001 a R$1.000.000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</si>
</sst>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0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49" fontId="2" fillId="2" borderId="0" xfId="0" applyNumberFormat="1" applyFont="1" applyFill="1" applyAlignment="1">
      <alignment horizontal="center" vertical="center"/>
    </xf>
    <xf numFmtId="49" fontId="3" fillId="0" borderId="0" xfId="0" applyNumberFormat="1" applyFont="1"/>
    <xf numFmtId="0" fontId="4" fillId="0" borderId="0" xfId="1" applyNumberFormat="1" applyFont="1" applyFill="1" applyBorder="1" applyAlignment="1">
      <alignment horizontal="center" vertical="center"/>
    </xf>
    <xf numFmtId="0" fontId="4" fillId="0" borderId="0" xfId="1" applyNumberFormat="1" applyFont="1" applyFill="1" applyBorder="1" applyAlignment="1">
      <alignment horizontal="left" vertical="center"/>
    </xf>
    <xf numFmtId="4" fontId="2" fillId="2" borderId="0" xfId="2" applyNumberFormat="1" applyFont="1" applyFill="1" applyAlignment="1">
      <alignment horizontal="center" vertical="center"/>
    </xf>
    <xf numFmtId="4" fontId="2" fillId="2" borderId="0" xfId="0" applyNumberFormat="1" applyFont="1" applyFill="1" applyAlignment="1">
      <alignment horizontal="center" vertical="center"/>
    </xf>
    <xf numFmtId="4" fontId="3" fillId="0" borderId="0" xfId="2" applyNumberFormat="1" applyFont="1"/>
    <xf numFmtId="4" fontId="3" fillId="0" borderId="0" xfId="0" applyNumberFormat="1" applyFont="1"/>
    <xf numFmtId="164" fontId="4" fillId="0" borderId="0" xfId="1" applyNumberFormat="1" applyFont="1" applyFill="1" applyBorder="1" applyAlignment="1">
      <alignment horizontal="center" vertical="center"/>
    </xf>
    <xf numFmtId="43" fontId="4" fillId="0" borderId="0" xfId="2" applyFont="1" applyFill="1" applyBorder="1" applyAlignment="1">
      <alignment horizontal="center" vertical="center"/>
    </xf>
  </cellXfs>
  <cellStyles count="3">
    <cellStyle name="Normal" xfId="0" builtinId="0"/>
    <cellStyle name="Porcentagem" xfId="1" builtinId="5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6CFE4-61AD-40DD-B0AE-A336CB719A94}">
  <dimension ref="A1:S15"/>
  <sheetViews>
    <sheetView showGridLines="0" tabSelected="1" zoomScale="115" zoomScaleNormal="115" workbookViewId="0">
      <pane xSplit="3" topLeftCell="D1" activePane="topRight" state="frozen"/>
      <selection pane="topRight" activeCell="M2" sqref="M2"/>
    </sheetView>
  </sheetViews>
  <sheetFormatPr defaultColWidth="8.88671875" defaultRowHeight="13.8" x14ac:dyDescent="0.3"/>
  <cols>
    <col min="1" max="1" width="13.21875" style="2" bestFit="1" customWidth="1"/>
    <col min="2" max="2" width="16.5546875" style="2" bestFit="1" customWidth="1"/>
    <col min="3" max="3" width="23.6640625" style="2" bestFit="1" customWidth="1"/>
    <col min="4" max="4" width="11.33203125" style="9" customWidth="1"/>
    <col min="5" max="5" width="13.21875" style="9" customWidth="1"/>
    <col min="6" max="6" width="15.5546875" style="10" customWidth="1"/>
    <col min="7" max="12" width="9.44140625" style="10" customWidth="1"/>
    <col min="13" max="17" width="9.44140625" style="10" bestFit="1" customWidth="1"/>
    <col min="18" max="18" width="9.5546875" style="4" bestFit="1" customWidth="1"/>
    <col min="19" max="19" width="13.6640625" style="4" bestFit="1" customWidth="1"/>
    <col min="20" max="16384" width="8.88671875" style="2"/>
  </cols>
  <sheetData>
    <row r="1" spans="1:19" x14ac:dyDescent="0.3">
      <c r="A1" s="1" t="s">
        <v>2</v>
      </c>
      <c r="B1" s="1" t="s">
        <v>19</v>
      </c>
      <c r="C1" s="1" t="s">
        <v>20</v>
      </c>
      <c r="D1" s="7" t="s">
        <v>21</v>
      </c>
      <c r="E1" s="7" t="s">
        <v>22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14</v>
      </c>
      <c r="R1" s="3" t="s">
        <v>0</v>
      </c>
      <c r="S1" s="3" t="s">
        <v>1</v>
      </c>
    </row>
    <row r="2" spans="1:19" x14ac:dyDescent="0.3">
      <c r="A2" s="5">
        <v>1</v>
      </c>
      <c r="B2" s="5">
        <v>1</v>
      </c>
      <c r="C2" s="6" t="s">
        <v>27</v>
      </c>
      <c r="D2" s="12">
        <v>0.01</v>
      </c>
      <c r="E2" s="12">
        <v>100000</v>
      </c>
      <c r="F2" s="11">
        <v>1.05</v>
      </c>
      <c r="G2" s="11">
        <v>1</v>
      </c>
      <c r="H2" s="11">
        <v>1</v>
      </c>
      <c r="I2" s="11">
        <v>1</v>
      </c>
      <c r="J2" s="11">
        <v>1</v>
      </c>
      <c r="K2" s="11">
        <v>1</v>
      </c>
      <c r="L2" s="11">
        <v>1</v>
      </c>
      <c r="M2" s="11">
        <v>1.05</v>
      </c>
      <c r="N2" s="11">
        <v>0.76190476190476186</v>
      </c>
      <c r="O2" s="11">
        <v>0.8571428571428571</v>
      </c>
      <c r="P2" s="11">
        <v>0.80952380952380953</v>
      </c>
      <c r="Q2" s="11">
        <v>0.80952380952380953</v>
      </c>
      <c r="R2" s="5">
        <v>1000</v>
      </c>
      <c r="S2" s="5">
        <v>1</v>
      </c>
    </row>
    <row r="3" spans="1:19" x14ac:dyDescent="0.3">
      <c r="A3" s="5">
        <v>1</v>
      </c>
      <c r="B3" s="5">
        <v>2</v>
      </c>
      <c r="C3" s="6" t="s">
        <v>23</v>
      </c>
      <c r="D3" s="12">
        <f>E2+0.01</f>
        <v>100000.01</v>
      </c>
      <c r="E3" s="12">
        <v>150000</v>
      </c>
      <c r="F3" s="11">
        <v>1.0790150000000001</v>
      </c>
      <c r="G3" s="11">
        <v>1</v>
      </c>
      <c r="H3" s="11">
        <v>1</v>
      </c>
      <c r="I3" s="11">
        <v>1</v>
      </c>
      <c r="J3" s="11">
        <v>1</v>
      </c>
      <c r="K3" s="11">
        <v>1</v>
      </c>
      <c r="L3" s="11">
        <v>1</v>
      </c>
      <c r="M3" s="11">
        <v>1.0813600000000001</v>
      </c>
      <c r="N3" s="11">
        <v>1.0802138048383516</v>
      </c>
      <c r="O3" s="11">
        <v>0.98773766368276983</v>
      </c>
      <c r="P3" s="11">
        <v>0.98971313901013536</v>
      </c>
      <c r="Q3" s="11">
        <v>1.0192215358437524</v>
      </c>
      <c r="R3" s="5">
        <v>1000</v>
      </c>
      <c r="S3" s="5">
        <v>1</v>
      </c>
    </row>
    <row r="4" spans="1:19" x14ac:dyDescent="0.3">
      <c r="A4" s="5">
        <v>1</v>
      </c>
      <c r="B4" s="5">
        <v>3</v>
      </c>
      <c r="C4" s="6" t="s">
        <v>15</v>
      </c>
      <c r="D4" s="12">
        <f t="shared" ref="D4:D15" si="0">E3+0.01</f>
        <v>150000.01</v>
      </c>
      <c r="E4" s="12">
        <v>200000</v>
      </c>
      <c r="F4" s="11">
        <v>1.1080300000000001</v>
      </c>
      <c r="G4" s="11">
        <v>1</v>
      </c>
      <c r="H4" s="11">
        <v>1</v>
      </c>
      <c r="I4" s="11">
        <v>1</v>
      </c>
      <c r="J4" s="11">
        <v>1</v>
      </c>
      <c r="K4" s="11">
        <v>1</v>
      </c>
      <c r="L4" s="11">
        <v>1</v>
      </c>
      <c r="M4" s="11">
        <v>1.1127199999999999</v>
      </c>
      <c r="N4" s="11">
        <v>1.0663059889280324</v>
      </c>
      <c r="O4" s="11">
        <v>1.0660363793227408</v>
      </c>
      <c r="P4" s="11">
        <v>1.0681684520813861</v>
      </c>
      <c r="Q4" s="11">
        <v>1.0668369401107198</v>
      </c>
      <c r="R4" s="5">
        <v>1000</v>
      </c>
      <c r="S4" s="5">
        <v>1</v>
      </c>
    </row>
    <row r="5" spans="1:19" x14ac:dyDescent="0.3">
      <c r="A5" s="5">
        <v>1</v>
      </c>
      <c r="B5" s="5">
        <v>4</v>
      </c>
      <c r="C5" s="6" t="s">
        <v>24</v>
      </c>
      <c r="D5" s="12">
        <f t="shared" si="0"/>
        <v>200000.01</v>
      </c>
      <c r="E5" s="12">
        <v>250000</v>
      </c>
      <c r="F5" s="11">
        <v>1.1540952500000001</v>
      </c>
      <c r="G5" s="11">
        <v>1</v>
      </c>
      <c r="H5" s="11">
        <v>1</v>
      </c>
      <c r="I5" s="11">
        <v>1</v>
      </c>
      <c r="J5" s="11">
        <v>1</v>
      </c>
      <c r="K5" s="11">
        <v>1</v>
      </c>
      <c r="L5" s="11">
        <v>1</v>
      </c>
      <c r="M5" s="11">
        <v>1.14408</v>
      </c>
      <c r="N5" s="11">
        <v>1.2274491294315084</v>
      </c>
      <c r="O5" s="11">
        <v>1.140042654359835</v>
      </c>
      <c r="P5" s="11">
        <v>1.1423227396685547</v>
      </c>
      <c r="Q5" s="11">
        <v>1.1699381744866326</v>
      </c>
      <c r="R5" s="5">
        <v>1000</v>
      </c>
      <c r="S5" s="5">
        <v>1</v>
      </c>
    </row>
    <row r="6" spans="1:19" x14ac:dyDescent="0.3">
      <c r="A6" s="5">
        <v>1</v>
      </c>
      <c r="B6" s="5">
        <v>5</v>
      </c>
      <c r="C6" s="6" t="s">
        <v>16</v>
      </c>
      <c r="D6" s="12">
        <f t="shared" si="0"/>
        <v>250000.01</v>
      </c>
      <c r="E6" s="12">
        <v>300000</v>
      </c>
      <c r="F6" s="11">
        <v>1.2001605</v>
      </c>
      <c r="G6" s="11">
        <v>1</v>
      </c>
      <c r="H6" s="11">
        <v>1</v>
      </c>
      <c r="I6" s="11">
        <v>1</v>
      </c>
      <c r="J6" s="11">
        <v>1</v>
      </c>
      <c r="K6" s="11">
        <v>1</v>
      </c>
      <c r="L6" s="11">
        <v>1</v>
      </c>
      <c r="M6" s="11">
        <v>1.17544</v>
      </c>
      <c r="N6" s="11">
        <v>1.295174572925883</v>
      </c>
      <c r="O6" s="11">
        <v>1.2101000476417343</v>
      </c>
      <c r="P6" s="11">
        <v>1.2125202477370178</v>
      </c>
      <c r="Q6" s="11">
        <v>1.2392649561015452</v>
      </c>
      <c r="R6" s="5">
        <v>1000</v>
      </c>
      <c r="S6" s="5">
        <v>1</v>
      </c>
    </row>
    <row r="7" spans="1:19" x14ac:dyDescent="0.3">
      <c r="A7" s="5">
        <v>1</v>
      </c>
      <c r="B7" s="5">
        <v>6</v>
      </c>
      <c r="C7" s="6" t="s">
        <v>25</v>
      </c>
      <c r="D7" s="12">
        <f t="shared" si="0"/>
        <v>300000.01</v>
      </c>
      <c r="E7" s="12">
        <v>350000</v>
      </c>
      <c r="F7" s="11">
        <v>1.25270065</v>
      </c>
      <c r="G7" s="11">
        <v>1</v>
      </c>
      <c r="H7" s="11">
        <v>1</v>
      </c>
      <c r="I7" s="11">
        <v>1</v>
      </c>
      <c r="J7" s="11">
        <v>1</v>
      </c>
      <c r="K7" s="11">
        <v>1</v>
      </c>
      <c r="L7" s="11">
        <v>1</v>
      </c>
      <c r="M7" s="11">
        <v>1.2068000000000001</v>
      </c>
      <c r="N7" s="11">
        <v>1.3593801789857474</v>
      </c>
      <c r="O7" s="11">
        <v>1.2765164070268478</v>
      </c>
      <c r="P7" s="11">
        <v>1.2790694398409015</v>
      </c>
      <c r="Q7" s="11">
        <v>1.304988675284499</v>
      </c>
      <c r="R7" s="5">
        <v>1000</v>
      </c>
      <c r="S7" s="5">
        <v>1</v>
      </c>
    </row>
    <row r="8" spans="1:19" x14ac:dyDescent="0.3">
      <c r="A8" s="5">
        <v>1</v>
      </c>
      <c r="B8" s="5">
        <v>7</v>
      </c>
      <c r="C8" s="6" t="s">
        <v>17</v>
      </c>
      <c r="D8" s="12">
        <f t="shared" si="0"/>
        <v>350000.01</v>
      </c>
      <c r="E8" s="12">
        <v>400000</v>
      </c>
      <c r="F8" s="11">
        <v>1.3052408</v>
      </c>
      <c r="G8" s="11">
        <v>1</v>
      </c>
      <c r="H8" s="11">
        <v>1</v>
      </c>
      <c r="I8" s="11">
        <v>1</v>
      </c>
      <c r="J8" s="11">
        <v>1</v>
      </c>
      <c r="K8" s="11">
        <v>1</v>
      </c>
      <c r="L8" s="11">
        <v>1</v>
      </c>
      <c r="M8" s="11">
        <v>1.2381599999999999</v>
      </c>
      <c r="N8" s="11">
        <v>1.4203333979453383</v>
      </c>
      <c r="O8" s="11">
        <v>1.3395683918071979</v>
      </c>
      <c r="P8" s="11">
        <v>1.3422475285908122</v>
      </c>
      <c r="Q8" s="11">
        <v>1.3673831061144497</v>
      </c>
      <c r="R8" s="5">
        <v>1000</v>
      </c>
      <c r="S8" s="5">
        <v>1</v>
      </c>
    </row>
    <row r="9" spans="1:19" x14ac:dyDescent="0.3">
      <c r="A9" s="5">
        <v>1</v>
      </c>
      <c r="B9" s="5">
        <v>8</v>
      </c>
      <c r="C9" s="6" t="s">
        <v>26</v>
      </c>
      <c r="D9" s="12">
        <f t="shared" si="0"/>
        <v>400000.01</v>
      </c>
      <c r="E9" s="12">
        <v>450000</v>
      </c>
      <c r="F9" s="11">
        <v>1.3542254</v>
      </c>
      <c r="G9" s="11">
        <v>1</v>
      </c>
      <c r="H9" s="11">
        <v>1</v>
      </c>
      <c r="I9" s="11">
        <v>1</v>
      </c>
      <c r="J9" s="11">
        <v>1</v>
      </c>
      <c r="K9" s="11">
        <v>1</v>
      </c>
      <c r="L9" s="11">
        <v>1</v>
      </c>
      <c r="M9" s="11">
        <v>1.26952</v>
      </c>
      <c r="N9" s="11">
        <v>1.4782752536391708</v>
      </c>
      <c r="O9" s="11">
        <v>1.3995053248471863</v>
      </c>
      <c r="P9" s="11">
        <v>1.4023043354968807</v>
      </c>
      <c r="Q9" s="11">
        <v>1.4266949713277459</v>
      </c>
      <c r="R9" s="5">
        <v>1000</v>
      </c>
      <c r="S9" s="5">
        <v>1</v>
      </c>
    </row>
    <row r="10" spans="1:19" x14ac:dyDescent="0.3">
      <c r="A10" s="5">
        <v>1</v>
      </c>
      <c r="B10" s="5">
        <v>9</v>
      </c>
      <c r="C10" s="6" t="s">
        <v>18</v>
      </c>
      <c r="D10" s="12">
        <f t="shared" si="0"/>
        <v>450000.01</v>
      </c>
      <c r="E10" s="12">
        <v>500000</v>
      </c>
      <c r="F10" s="11">
        <v>1.4032100000000001</v>
      </c>
      <c r="G10" s="11">
        <v>1</v>
      </c>
      <c r="H10" s="11">
        <v>1</v>
      </c>
      <c r="I10" s="11">
        <v>1</v>
      </c>
      <c r="J10" s="11">
        <v>1</v>
      </c>
      <c r="K10" s="11">
        <v>1</v>
      </c>
      <c r="L10" s="11">
        <v>1</v>
      </c>
      <c r="M10" s="11">
        <v>1.30088</v>
      </c>
      <c r="N10" s="11">
        <v>1.5334235286882725</v>
      </c>
      <c r="O10" s="11">
        <v>1.5334235286882725</v>
      </c>
      <c r="P10" s="11">
        <v>1.536490375745649</v>
      </c>
      <c r="Q10" s="11">
        <v>1.5344458110407313</v>
      </c>
      <c r="R10" s="5">
        <v>1000</v>
      </c>
      <c r="S10" s="5">
        <v>1</v>
      </c>
    </row>
    <row r="11" spans="1:19" x14ac:dyDescent="0.3">
      <c r="A11" s="5">
        <v>1</v>
      </c>
      <c r="B11" s="5">
        <v>10</v>
      </c>
      <c r="C11" s="6" t="s">
        <v>28</v>
      </c>
      <c r="D11" s="12">
        <f t="shared" si="0"/>
        <v>500000.01</v>
      </c>
      <c r="E11" s="12">
        <v>600000</v>
      </c>
      <c r="F11" s="11">
        <v>1.5054012999999999</v>
      </c>
      <c r="G11" s="11">
        <v>1</v>
      </c>
      <c r="H11" s="11">
        <v>1</v>
      </c>
      <c r="I11" s="11">
        <v>1</v>
      </c>
      <c r="J11" s="11">
        <v>1</v>
      </c>
      <c r="K11" s="11">
        <v>1</v>
      </c>
      <c r="L11" s="11">
        <v>1</v>
      </c>
      <c r="M11" s="11">
        <v>1.3322400000000001</v>
      </c>
      <c r="N11" s="11">
        <v>1.6610370503813126</v>
      </c>
      <c r="O11" s="11">
        <v>1.5859754999099258</v>
      </c>
      <c r="P11" s="11">
        <v>1.5891474509097456</v>
      </c>
      <c r="Q11" s="11">
        <v>1.6120533337336613</v>
      </c>
      <c r="R11" s="5">
        <v>1000</v>
      </c>
      <c r="S11" s="5">
        <v>1</v>
      </c>
    </row>
    <row r="12" spans="1:19" x14ac:dyDescent="0.3">
      <c r="A12" s="5">
        <v>1</v>
      </c>
      <c r="B12" s="5">
        <v>11</v>
      </c>
      <c r="C12" s="6" t="s">
        <v>29</v>
      </c>
      <c r="D12" s="12">
        <f t="shared" si="0"/>
        <v>600000.01</v>
      </c>
      <c r="E12" s="12">
        <v>700000</v>
      </c>
      <c r="F12" s="11">
        <v>1.6048150000000001</v>
      </c>
      <c r="G12" s="11">
        <v>1</v>
      </c>
      <c r="H12" s="11">
        <v>1</v>
      </c>
      <c r="I12" s="11">
        <v>1</v>
      </c>
      <c r="J12" s="11">
        <v>1</v>
      </c>
      <c r="K12" s="11">
        <v>1</v>
      </c>
      <c r="L12" s="11">
        <v>1</v>
      </c>
      <c r="M12" s="11">
        <v>1.3635999999999999</v>
      </c>
      <c r="N12" s="11">
        <v>1.7827808741566442</v>
      </c>
      <c r="O12" s="11">
        <v>1.637650337342329</v>
      </c>
      <c r="P12" s="11">
        <v>1.6409256380170139</v>
      </c>
      <c r="Q12" s="11">
        <v>1.6871189498386625</v>
      </c>
      <c r="R12" s="5">
        <v>1000</v>
      </c>
      <c r="S12" s="5">
        <v>1</v>
      </c>
    </row>
    <row r="13" spans="1:19" x14ac:dyDescent="0.3">
      <c r="A13" s="5">
        <v>1</v>
      </c>
      <c r="B13" s="5">
        <v>12</v>
      </c>
      <c r="C13" s="6" t="s">
        <v>30</v>
      </c>
      <c r="D13" s="12">
        <f t="shared" si="0"/>
        <v>700000.01</v>
      </c>
      <c r="E13" s="12">
        <v>800000</v>
      </c>
      <c r="F13" s="11">
        <v>1.7055617999999999</v>
      </c>
      <c r="G13" s="11">
        <v>1</v>
      </c>
      <c r="H13" s="11">
        <v>1</v>
      </c>
      <c r="I13" s="11">
        <v>1</v>
      </c>
      <c r="J13" s="11">
        <v>1</v>
      </c>
      <c r="K13" s="11">
        <v>1</v>
      </c>
      <c r="L13" s="11">
        <v>1</v>
      </c>
      <c r="M13" s="11">
        <v>1.39496</v>
      </c>
      <c r="N13" s="11">
        <v>1.8990508688421173</v>
      </c>
      <c r="O13" s="11">
        <v>1.6839909388082812</v>
      </c>
      <c r="P13" s="11">
        <v>1.6873589206858979</v>
      </c>
      <c r="Q13" s="11">
        <v>1.7568002427787652</v>
      </c>
      <c r="R13" s="5">
        <v>1000</v>
      </c>
      <c r="S13" s="5">
        <v>1</v>
      </c>
    </row>
    <row r="14" spans="1:19" x14ac:dyDescent="0.3">
      <c r="A14" s="5">
        <v>1</v>
      </c>
      <c r="B14" s="5">
        <v>13</v>
      </c>
      <c r="C14" s="6" t="s">
        <v>31</v>
      </c>
      <c r="D14" s="12">
        <f t="shared" si="0"/>
        <v>800000.01</v>
      </c>
      <c r="E14" s="12">
        <v>900000</v>
      </c>
      <c r="F14" s="11">
        <v>1.8505621000000001</v>
      </c>
      <c r="G14" s="11">
        <v>1</v>
      </c>
      <c r="H14" s="11">
        <v>1</v>
      </c>
      <c r="I14" s="11">
        <v>1</v>
      </c>
      <c r="J14" s="11">
        <v>1</v>
      </c>
      <c r="K14" s="11">
        <v>1</v>
      </c>
      <c r="L14" s="11">
        <v>1</v>
      </c>
      <c r="M14" s="11">
        <v>1.42632</v>
      </c>
      <c r="N14" s="11">
        <v>1.9400975938078411</v>
      </c>
      <c r="O14" s="11">
        <v>1.729766111391553</v>
      </c>
      <c r="P14" s="11">
        <v>1.7332256436143361</v>
      </c>
      <c r="Q14" s="11">
        <v>1.8010297829379101</v>
      </c>
      <c r="R14" s="5">
        <v>1000</v>
      </c>
      <c r="S14" s="5">
        <v>1</v>
      </c>
    </row>
    <row r="15" spans="1:19" x14ac:dyDescent="0.3">
      <c r="A15" s="5">
        <v>1</v>
      </c>
      <c r="B15" s="5">
        <v>14</v>
      </c>
      <c r="C15" s="6" t="s">
        <v>32</v>
      </c>
      <c r="D15" s="12">
        <f t="shared" si="0"/>
        <v>900000.01</v>
      </c>
      <c r="E15" s="12">
        <v>1000000</v>
      </c>
      <c r="F15" s="11">
        <v>1.955854</v>
      </c>
      <c r="G15" s="11">
        <v>1</v>
      </c>
      <c r="H15" s="11">
        <v>1</v>
      </c>
      <c r="I15" s="11">
        <v>1</v>
      </c>
      <c r="J15" s="11">
        <v>1</v>
      </c>
      <c r="K15" s="11">
        <v>1</v>
      </c>
      <c r="L15" s="11">
        <v>1</v>
      </c>
      <c r="M15" s="11">
        <v>1.45777</v>
      </c>
      <c r="N15" s="11">
        <v>1.9792559868840762</v>
      </c>
      <c r="O15" s="11">
        <v>1.7734622059721357</v>
      </c>
      <c r="P15" s="11">
        <v>1.7770091303840798</v>
      </c>
      <c r="Q15" s="11">
        <v>1.8432424410800974</v>
      </c>
      <c r="R15" s="5">
        <v>1000</v>
      </c>
      <c r="S15" s="5">
        <v>1</v>
      </c>
    </row>
  </sheetData>
  <pageMargins left="0.511811024" right="0.511811024" top="0.78740157499999996" bottom="0.78740157499999996" header="0.31496062000000002" footer="0.31496062000000002"/>
  <pageSetup paperSize="9"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FT_ISCOBERTURA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Lopes</dc:creator>
  <cp:lastModifiedBy>Fabrício Lopes</cp:lastModifiedBy>
  <dcterms:created xsi:type="dcterms:W3CDTF">2024-09-16T13:49:45Z</dcterms:created>
  <dcterms:modified xsi:type="dcterms:W3CDTF">2026-04-29T20:58:33Z</dcterms:modified>
</cp:coreProperties>
</file>